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ocks" sheetId="2" state="visible" r:id="rId2"/>
    <sheet xmlns:r="http://schemas.openxmlformats.org/officeDocument/2006/relationships" name="ETFs" sheetId="3" state="visible" r:id="rId3"/>
    <sheet xmlns:r="http://schemas.openxmlformats.org/officeDocument/2006/relationships" name="Mutual Funds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.0000_);_(* \(#,##0.0000\);_(* &quot;-&quot;??_);_(@_)"/>
  </numFmts>
  <fonts count="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22"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43" fontId="2" fillId="0" borderId="0" pivotButton="0" quotePrefix="0" xfId="1"/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43" fontId="2" fillId="0" borderId="1" pivotButton="0" quotePrefix="0" xfId="1"/>
    <xf numFmtId="0" fontId="3" fillId="2" borderId="1" applyAlignment="1" pivotButton="0" quotePrefix="0" xfId="0">
      <alignment horizontal="center" vertical="center"/>
    </xf>
    <xf numFmtId="14" fontId="2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43" fontId="2" fillId="0" borderId="1" pivotButton="0" quotePrefix="0" xfId="0"/>
    <xf numFmtId="0" fontId="3" fillId="0" borderId="0" pivotButton="0" quotePrefix="0" xfId="0"/>
    <xf numFmtId="0" fontId="3" fillId="0" borderId="1" applyAlignment="1" pivotButton="0" quotePrefix="0" xfId="0">
      <alignment horizontal="center"/>
    </xf>
    <xf numFmtId="43" fontId="3" fillId="0" borderId="1" pivotButton="0" quotePrefix="0" xfId="1"/>
    <xf numFmtId="9" fontId="2" fillId="0" borderId="0" pivotButton="0" quotePrefix="0" xfId="2"/>
    <xf numFmtId="10" fontId="2" fillId="0" borderId="0" pivotButton="0" quotePrefix="0" xfId="2"/>
    <xf numFmtId="164" fontId="2" fillId="0" borderId="1" pivotButton="0" quotePrefix="0" xfId="1"/>
    <xf numFmtId="10" fontId="2" fillId="0" borderId="1" applyAlignment="1" pivotButton="0" quotePrefix="0" xfId="2">
      <alignment horizontal="center"/>
    </xf>
    <xf numFmtId="10" fontId="3" fillId="0" borderId="0" applyAlignment="1" pivotButton="0" quotePrefix="0" xfId="2">
      <alignment horizontal="center"/>
    </xf>
    <xf numFmtId="0" fontId="3" fillId="0" borderId="0" applyAlignment="1" pivotButton="0" quotePrefix="0" xfId="0">
      <alignment horizontal="center"/>
    </xf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tabSelected="1" workbookViewId="0">
      <selection activeCell="B7" sqref="B7:C7"/>
    </sheetView>
  </sheetViews>
  <sheetFormatPr baseColWidth="8" defaultRowHeight="13.8"/>
  <cols>
    <col width="18.44140625" bestFit="1" customWidth="1" style="1" min="1" max="1"/>
    <col width="13.44140625" bestFit="1" customWidth="1" style="1" min="2" max="3"/>
    <col width="8.88671875" customWidth="1" style="1" min="4" max="16384"/>
  </cols>
  <sheetData>
    <row r="1" customFormat="1" s="3">
      <c r="A1" s="8" t="inlineStr">
        <is>
          <t>Particulars</t>
        </is>
      </c>
      <c r="B1" s="8" t="inlineStr">
        <is>
          <t>Current Value</t>
        </is>
      </c>
      <c r="C1" s="8" t="inlineStr">
        <is>
          <t>Total Cost</t>
        </is>
      </c>
    </row>
    <row r="2">
      <c r="A2" s="6" t="inlineStr">
        <is>
          <t>Stocks</t>
        </is>
      </c>
      <c r="B2" s="7">
        <f>Stocks!$J$16</f>
        <v/>
      </c>
      <c r="C2" s="12">
        <f>Stocks!$F$16</f>
        <v/>
      </c>
    </row>
    <row r="3">
      <c r="A3" s="6" t="inlineStr">
        <is>
          <t>ETFs</t>
        </is>
      </c>
      <c r="B3" s="7">
        <f>ETFs!$J$7</f>
        <v/>
      </c>
      <c r="C3" s="12">
        <f>ETFs!$F$7</f>
        <v/>
      </c>
    </row>
    <row r="4">
      <c r="A4" s="6" t="inlineStr">
        <is>
          <t>Mutual Funds</t>
        </is>
      </c>
      <c r="B4" s="7">
        <f>'Mutual Funds'!$G$8</f>
        <v/>
      </c>
      <c r="C4" s="12">
        <f>'Mutual Funds'!$E$8</f>
        <v/>
      </c>
    </row>
    <row r="5" customFormat="1" s="13">
      <c r="A5" s="14" t="inlineStr">
        <is>
          <t>Total</t>
        </is>
      </c>
      <c r="B5" s="15">
        <f>SUM(B2:B4)</f>
        <v/>
      </c>
      <c r="C5" s="15">
        <f>SUM(C2:C4)</f>
        <v/>
      </c>
    </row>
    <row r="7" customFormat="1" s="13">
      <c r="A7" s="13" t="inlineStr">
        <is>
          <t>% Upside/Downside</t>
        </is>
      </c>
      <c r="B7" s="20">
        <f>(B5-C5)/C5</f>
        <v/>
      </c>
    </row>
  </sheetData>
  <mergeCells count="1">
    <mergeCell ref="B7:C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B1" sqref="B1"/>
    </sheetView>
  </sheetViews>
  <sheetFormatPr baseColWidth="8" defaultRowHeight="13.8"/>
  <cols>
    <col width="6.5546875" bestFit="1" customWidth="1" style="2" min="1" max="1"/>
    <col width="20.21875" bestFit="1" customWidth="1" style="1" min="2" max="2"/>
    <col width="15.6640625" bestFit="1" customWidth="1" style="1" min="3" max="3"/>
    <col width="18.33203125" bestFit="1" customWidth="1" style="1" min="4" max="4"/>
    <col width="13.77734375" bestFit="1" customWidth="1" style="1" min="5" max="5"/>
    <col width="11.109375" bestFit="1" customWidth="1" style="1" min="6" max="6"/>
    <col width="12.33203125" bestFit="1" customWidth="1" style="1" min="7" max="7"/>
    <col width="10.44140625" bestFit="1" customWidth="1" style="1" min="8" max="8"/>
    <col width="10.44140625" customWidth="1" style="1" min="9" max="9"/>
    <col width="15.77734375" customWidth="1" style="1" min="10" max="10"/>
    <col width="15.6640625" bestFit="1" customWidth="1" style="1" min="11" max="11"/>
    <col width="14.88671875" bestFit="1" customWidth="1" style="1" min="12" max="12"/>
    <col width="8.88671875" customWidth="1" style="1" min="13" max="13"/>
    <col width="12.33203125" bestFit="1" customWidth="1" style="1" min="14" max="14"/>
    <col width="11.5546875" customWidth="1" style="1" min="15" max="15"/>
    <col width="8.88671875" customWidth="1" style="1" min="16" max="16384"/>
  </cols>
  <sheetData>
    <row r="1" ht="27.6" customFormat="1" customHeight="1" s="11">
      <c r="A1" s="10" t="inlineStr">
        <is>
          <t>Sr No.</t>
        </is>
      </c>
      <c r="B1" s="10" t="inlineStr">
        <is>
          <t>Name of Stock</t>
        </is>
      </c>
      <c r="C1" s="10" t="inlineStr">
        <is>
          <t>Date of purchase</t>
        </is>
      </c>
      <c r="D1" s="10" t="inlineStr">
        <is>
          <t>Quantity Purchased</t>
        </is>
      </c>
      <c r="E1" s="10" t="inlineStr">
        <is>
          <t>Purchase Price</t>
        </is>
      </c>
      <c r="F1" s="10" t="inlineStr">
        <is>
          <t>Total Value</t>
        </is>
      </c>
      <c r="G1" s="10" t="inlineStr">
        <is>
          <t>Charges paid</t>
        </is>
      </c>
      <c r="H1" s="10" t="inlineStr">
        <is>
          <t>Total Cost</t>
        </is>
      </c>
      <c r="I1" s="10" t="inlineStr">
        <is>
          <t>LTP</t>
        </is>
      </c>
      <c r="J1" s="10" t="inlineStr">
        <is>
          <t>Current Value of Investment</t>
        </is>
      </c>
      <c r="K1" s="10" t="inlineStr">
        <is>
          <t>Date of Sale</t>
        </is>
      </c>
      <c r="L1" s="10" t="inlineStr">
        <is>
          <t>Quantity of sale</t>
        </is>
      </c>
      <c r="M1" s="10" t="inlineStr">
        <is>
          <t>Sale Price</t>
        </is>
      </c>
      <c r="N1" s="10" t="inlineStr">
        <is>
          <t>Charges paid</t>
        </is>
      </c>
      <c r="O1" s="10" t="inlineStr">
        <is>
          <t>Total Value of Sale</t>
        </is>
      </c>
      <c r="P1" s="10" t="inlineStr">
        <is>
          <t>Profit/Loss</t>
        </is>
      </c>
    </row>
    <row r="2">
      <c r="A2" s="5" t="n">
        <v>1</v>
      </c>
      <c r="B2" s="6" t="inlineStr">
        <is>
          <t>HDFC BANK</t>
        </is>
      </c>
      <c r="C2" s="9" t="n"/>
      <c r="D2" s="6" t="n"/>
      <c r="E2" s="7" t="n"/>
      <c r="F2" s="7">
        <f>D2*E2</f>
        <v/>
      </c>
      <c r="G2" s="7" t="n"/>
      <c r="H2" s="7">
        <f>F2+G2</f>
        <v/>
      </c>
      <c r="I2" s="7" t="n">
        <v>692.8</v>
      </c>
      <c r="J2" s="7">
        <f>(D2-L2)*I2</f>
        <v/>
      </c>
      <c r="K2" s="9" t="n"/>
      <c r="L2" s="6" t="n"/>
      <c r="M2" s="6" t="n"/>
      <c r="N2" s="6" t="n"/>
      <c r="O2" s="7">
        <f>(L2*M2)-N2</f>
        <v/>
      </c>
      <c r="P2" s="12">
        <f>O2-(L2*E2)</f>
        <v/>
      </c>
    </row>
    <row r="3">
      <c r="A3" s="5">
        <f>A2+1</f>
        <v/>
      </c>
      <c r="B3" s="6" t="inlineStr">
        <is>
          <t>TCS</t>
        </is>
      </c>
      <c r="C3" s="9" t="n"/>
      <c r="D3" s="6" t="n"/>
      <c r="E3" s="7" t="n"/>
      <c r="F3" s="7">
        <f>D3*E3</f>
        <v/>
      </c>
      <c r="G3" s="7" t="n"/>
      <c r="H3" s="7">
        <f>F3+G3</f>
        <v/>
      </c>
      <c r="I3" s="7" t="n">
        <v>2530</v>
      </c>
      <c r="J3" s="7">
        <f>(D3-L3)*I3</f>
        <v/>
      </c>
      <c r="K3" s="9" t="n"/>
      <c r="L3" s="6" t="n"/>
      <c r="M3" s="6" t="n"/>
      <c r="N3" s="6" t="n"/>
      <c r="O3" s="7">
        <f>(L3*M3)-N3</f>
        <v/>
      </c>
      <c r="P3" s="12">
        <f>O3-(L3*E3)</f>
        <v/>
      </c>
    </row>
    <row r="4">
      <c r="A4" s="5">
        <f>A3+1</f>
        <v/>
      </c>
      <c r="B4" s="6" t="inlineStr">
        <is>
          <t>RELIANCE</t>
        </is>
      </c>
      <c r="C4" s="9" t="n"/>
      <c r="D4" s="6" t="n"/>
      <c r="E4" s="7" t="n"/>
      <c r="F4" s="7">
        <f>D4*E4</f>
        <v/>
      </c>
      <c r="G4" s="7" t="n"/>
      <c r="H4" s="7">
        <f>F4+G4</f>
        <v/>
      </c>
      <c r="I4" s="7" t="n">
        <v>1190</v>
      </c>
      <c r="J4" s="7">
        <f>(D4-L4)*I4</f>
        <v/>
      </c>
      <c r="K4" s="9" t="n"/>
      <c r="L4" s="6" t="n"/>
      <c r="M4" s="6" t="n"/>
      <c r="N4" s="6" t="n"/>
      <c r="O4" s="7">
        <f>(L4*M4)-N4</f>
        <v/>
      </c>
      <c r="P4" s="12">
        <f>O4-(L4*E4)</f>
        <v/>
      </c>
    </row>
    <row r="5">
      <c r="A5" s="5">
        <f>A4+1</f>
        <v/>
      </c>
      <c r="B5" s="6" t="inlineStr">
        <is>
          <t>VARUN BEVERAGES</t>
        </is>
      </c>
      <c r="C5" s="9" t="n"/>
      <c r="D5" s="6" t="n"/>
      <c r="E5" s="7" t="n"/>
      <c r="F5" s="7">
        <f>D5*E5</f>
        <v/>
      </c>
      <c r="G5" s="7" t="n"/>
      <c r="H5" s="7">
        <f>F5+G5</f>
        <v/>
      </c>
      <c r="I5" s="7" t="n">
        <v>395.1</v>
      </c>
      <c r="J5" s="7">
        <f>(D5-L5)*I5</f>
        <v/>
      </c>
      <c r="K5" s="9" t="n"/>
      <c r="L5" s="6" t="n"/>
      <c r="M5" s="6" t="n"/>
      <c r="N5" s="6" t="n"/>
      <c r="O5" s="7">
        <f>(L5*M5)-N5</f>
        <v/>
      </c>
      <c r="P5" s="12">
        <f>O5-(L5*E5)</f>
        <v/>
      </c>
    </row>
    <row r="6">
      <c r="A6" s="5">
        <f>A5+1</f>
        <v/>
      </c>
      <c r="B6" s="6" t="n"/>
      <c r="C6" s="9" t="n"/>
      <c r="D6" s="6" t="n"/>
      <c r="E6" s="7" t="n"/>
      <c r="F6" s="7">
        <f>D6*E6</f>
        <v/>
      </c>
      <c r="G6" s="7" t="n"/>
      <c r="H6" s="7">
        <f>F6+G6</f>
        <v/>
      </c>
      <c r="I6" s="7" t="n"/>
      <c r="J6" s="7">
        <f>(D6-L6)*I6</f>
        <v/>
      </c>
      <c r="K6" s="9" t="n"/>
      <c r="L6" s="6" t="n"/>
      <c r="M6" s="6" t="n"/>
      <c r="N6" s="6" t="n"/>
      <c r="O6" s="7">
        <f>(L6*M6)-N6</f>
        <v/>
      </c>
      <c r="P6" s="12">
        <f>O6-(L6*E6)</f>
        <v/>
      </c>
    </row>
    <row r="7">
      <c r="A7" s="5">
        <f>A6+1</f>
        <v/>
      </c>
      <c r="B7" s="6" t="n"/>
      <c r="C7" s="9" t="n"/>
      <c r="D7" s="6" t="n"/>
      <c r="E7" s="7" t="n"/>
      <c r="F7" s="7">
        <f>D7*E7</f>
        <v/>
      </c>
      <c r="G7" s="7" t="n"/>
      <c r="H7" s="7">
        <f>F7+G7</f>
        <v/>
      </c>
      <c r="I7" s="7" t="n"/>
      <c r="J7" s="7">
        <f>(D7-L7)*I7</f>
        <v/>
      </c>
      <c r="K7" s="9" t="n"/>
      <c r="L7" s="6" t="n"/>
      <c r="M7" s="6" t="n"/>
      <c r="N7" s="6" t="n"/>
      <c r="O7" s="7">
        <f>(L7*M7)-N7</f>
        <v/>
      </c>
      <c r="P7" s="12">
        <f>O7-(L7*E7)</f>
        <v/>
      </c>
    </row>
    <row r="8">
      <c r="A8" s="5">
        <f>A7+1</f>
        <v/>
      </c>
      <c r="B8" s="6" t="n"/>
      <c r="C8" s="9" t="n"/>
      <c r="D8" s="6" t="n"/>
      <c r="E8" s="7" t="n"/>
      <c r="F8" s="7">
        <f>D8*E8</f>
        <v/>
      </c>
      <c r="G8" s="7" t="n"/>
      <c r="H8" s="7">
        <f>F8+G8</f>
        <v/>
      </c>
      <c r="I8" s="7" t="n"/>
      <c r="J8" s="7">
        <f>(D8-L8)*I8</f>
        <v/>
      </c>
      <c r="K8" s="9" t="n"/>
      <c r="L8" s="6" t="n"/>
      <c r="M8" s="6" t="n"/>
      <c r="N8" s="6" t="n"/>
      <c r="O8" s="7">
        <f>(L8*M8)-N8</f>
        <v/>
      </c>
      <c r="P8" s="12">
        <f>O8-(L8*E8)</f>
        <v/>
      </c>
    </row>
    <row r="9">
      <c r="A9" s="5">
        <f>A8+1</f>
        <v/>
      </c>
      <c r="B9" s="6" t="n"/>
      <c r="C9" s="9" t="n"/>
      <c r="D9" s="6" t="n"/>
      <c r="E9" s="7" t="n"/>
      <c r="F9" s="7">
        <f>D9*E9</f>
        <v/>
      </c>
      <c r="G9" s="7" t="n"/>
      <c r="H9" s="7">
        <f>F9+G9</f>
        <v/>
      </c>
      <c r="I9" s="7" t="n"/>
      <c r="J9" s="7">
        <f>(D9-L9)*I9</f>
        <v/>
      </c>
      <c r="K9" s="9" t="n"/>
      <c r="L9" s="6" t="n"/>
      <c r="M9" s="6" t="n"/>
      <c r="N9" s="6" t="n"/>
      <c r="O9" s="7">
        <f>(L9*M9)-N9</f>
        <v/>
      </c>
      <c r="P9" s="12">
        <f>O9-(L9*E9)</f>
        <v/>
      </c>
    </row>
    <row r="10">
      <c r="A10" s="5">
        <f>A9+1</f>
        <v/>
      </c>
      <c r="B10" s="6" t="n"/>
      <c r="C10" s="9" t="n"/>
      <c r="D10" s="6" t="n"/>
      <c r="E10" s="7" t="n"/>
      <c r="F10" s="7">
        <f>D10*E10</f>
        <v/>
      </c>
      <c r="G10" s="7" t="n"/>
      <c r="H10" s="7">
        <f>F10+G10</f>
        <v/>
      </c>
      <c r="I10" s="7" t="n"/>
      <c r="J10" s="7">
        <f>(D10-L10)*I10</f>
        <v/>
      </c>
      <c r="K10" s="9" t="n"/>
      <c r="L10" s="6" t="n"/>
      <c r="M10" s="6" t="n"/>
      <c r="N10" s="6" t="n"/>
      <c r="O10" s="7">
        <f>(L10*M10)-N10</f>
        <v/>
      </c>
      <c r="P10" s="12">
        <f>O10-(L10*E10)</f>
        <v/>
      </c>
    </row>
    <row r="11">
      <c r="A11" s="5">
        <f>A10+1</f>
        <v/>
      </c>
      <c r="B11" s="6" t="n"/>
      <c r="C11" s="9" t="n"/>
      <c r="D11" s="6" t="n"/>
      <c r="E11" s="7" t="n"/>
      <c r="F11" s="7">
        <f>D11*E11</f>
        <v/>
      </c>
      <c r="G11" s="7" t="n"/>
      <c r="H11" s="7">
        <f>F11+G11</f>
        <v/>
      </c>
      <c r="I11" s="7" t="n"/>
      <c r="J11" s="7">
        <f>(D11-L11)*I11</f>
        <v/>
      </c>
      <c r="K11" s="9" t="n"/>
      <c r="L11" s="6" t="n"/>
      <c r="M11" s="6" t="n"/>
      <c r="N11" s="6" t="n"/>
      <c r="O11" s="7">
        <f>(L11*M11)-N11</f>
        <v/>
      </c>
      <c r="P11" s="12">
        <f>O11-(L11*E11)</f>
        <v/>
      </c>
    </row>
    <row r="12">
      <c r="A12" s="5">
        <f>A11+1</f>
        <v/>
      </c>
      <c r="B12" s="6" t="n"/>
      <c r="C12" s="9" t="n"/>
      <c r="D12" s="6" t="n"/>
      <c r="E12" s="7" t="n"/>
      <c r="F12" s="7">
        <f>D12*E12</f>
        <v/>
      </c>
      <c r="G12" s="7" t="n"/>
      <c r="H12" s="7">
        <f>F12+G12</f>
        <v/>
      </c>
      <c r="I12" s="7" t="n"/>
      <c r="J12" s="7">
        <f>(D12-L12)*I12</f>
        <v/>
      </c>
      <c r="K12" s="9" t="n"/>
      <c r="L12" s="6" t="n"/>
      <c r="M12" s="6" t="n"/>
      <c r="N12" s="6" t="n"/>
      <c r="O12" s="7">
        <f>(L12*M12)-N12</f>
        <v/>
      </c>
      <c r="P12" s="12">
        <f>O12-(L12*E12)</f>
        <v/>
      </c>
    </row>
    <row r="13">
      <c r="A13" s="5">
        <f>A12+1</f>
        <v/>
      </c>
      <c r="B13" s="6" t="n"/>
      <c r="C13" s="9" t="n"/>
      <c r="D13" s="6" t="n"/>
      <c r="E13" s="7" t="n"/>
      <c r="F13" s="7">
        <f>D13*E13</f>
        <v/>
      </c>
      <c r="G13" s="7" t="n"/>
      <c r="H13" s="7">
        <f>F13+G13</f>
        <v/>
      </c>
      <c r="I13" s="7" t="n"/>
      <c r="J13" s="7">
        <f>(D13-L13)*I13</f>
        <v/>
      </c>
      <c r="K13" s="9" t="n"/>
      <c r="L13" s="6" t="n"/>
      <c r="M13" s="6" t="n"/>
      <c r="N13" s="6" t="n"/>
      <c r="O13" s="7">
        <f>(L13*M13)-N13</f>
        <v/>
      </c>
      <c r="P13" s="12">
        <f>O13-(L13*E13)</f>
        <v/>
      </c>
    </row>
    <row r="14">
      <c r="A14" s="5">
        <f>A13+1</f>
        <v/>
      </c>
      <c r="B14" s="6" t="n"/>
      <c r="C14" s="9" t="n"/>
      <c r="D14" s="6" t="n"/>
      <c r="E14" s="7" t="n"/>
      <c r="F14" s="7">
        <f>D14*E14</f>
        <v/>
      </c>
      <c r="G14" s="7" t="n"/>
      <c r="H14" s="7">
        <f>F14+G14</f>
        <v/>
      </c>
      <c r="I14" s="7" t="n"/>
      <c r="J14" s="7">
        <f>(D14-L14)*I14</f>
        <v/>
      </c>
      <c r="K14" s="9" t="n"/>
      <c r="L14" s="6" t="n"/>
      <c r="M14" s="6" t="n"/>
      <c r="N14" s="6" t="n"/>
      <c r="O14" s="7">
        <f>(L14*M14)-N14</f>
        <v/>
      </c>
      <c r="P14" s="12">
        <f>O14-(L14*E14)</f>
        <v/>
      </c>
    </row>
    <row r="15">
      <c r="E15" s="4" t="n"/>
      <c r="F15" s="4" t="n"/>
      <c r="G15" s="4" t="n"/>
      <c r="H15" s="4" t="n"/>
      <c r="I15" s="4" t="n"/>
      <c r="J15" s="4" t="n"/>
    </row>
    <row r="16">
      <c r="B16" s="21" t="inlineStr">
        <is>
          <t>Total</t>
        </is>
      </c>
      <c r="F16" s="4">
        <f>SUM(F2:F15)</f>
        <v/>
      </c>
      <c r="G16" s="4" t="n"/>
      <c r="H16" s="4">
        <f>SUM(H2:H15)</f>
        <v/>
      </c>
      <c r="I16" s="4" t="n"/>
      <c r="J16" s="4">
        <f>SUM(J2:J15)</f>
        <v/>
      </c>
      <c r="P16" s="4">
        <f>SUM(P2:P15)</f>
        <v/>
      </c>
    </row>
    <row r="17">
      <c r="B17" s="21" t="inlineStr">
        <is>
          <t>% upside/downside</t>
        </is>
      </c>
      <c r="F17" s="16">
        <f>(J16-F16)/F16</f>
        <v/>
      </c>
    </row>
  </sheetData>
  <mergeCells count="2">
    <mergeCell ref="B17:E17"/>
    <mergeCell ref="B16:E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ColWidth="13.21875" defaultRowHeight="13.8"/>
  <cols>
    <col width="13.21875" customWidth="1" style="1" min="1" max="16384"/>
  </cols>
  <sheetData>
    <row r="1" ht="41.4" customHeight="1">
      <c r="A1" s="10" t="inlineStr">
        <is>
          <t>Sr No.</t>
        </is>
      </c>
      <c r="B1" s="10" t="inlineStr">
        <is>
          <t>Name of Stock</t>
        </is>
      </c>
      <c r="C1" s="10" t="inlineStr">
        <is>
          <t>Date of purchase</t>
        </is>
      </c>
      <c r="D1" s="10" t="inlineStr">
        <is>
          <t>Quantity Purchased</t>
        </is>
      </c>
      <c r="E1" s="10" t="inlineStr">
        <is>
          <t>Purchase Price</t>
        </is>
      </c>
      <c r="F1" s="10" t="inlineStr">
        <is>
          <t>Total Value</t>
        </is>
      </c>
      <c r="G1" s="10" t="inlineStr">
        <is>
          <t>Charges paid</t>
        </is>
      </c>
      <c r="H1" s="10" t="inlineStr">
        <is>
          <t>Total Cost</t>
        </is>
      </c>
      <c r="I1" s="10" t="inlineStr">
        <is>
          <t>LTP</t>
        </is>
      </c>
      <c r="J1" s="10" t="inlineStr">
        <is>
          <t>Current Value of Investment</t>
        </is>
      </c>
      <c r="K1" s="10" t="inlineStr">
        <is>
          <t>Date of Sale</t>
        </is>
      </c>
      <c r="L1" s="10" t="inlineStr">
        <is>
          <t>Quantity of sale</t>
        </is>
      </c>
      <c r="M1" s="10" t="inlineStr">
        <is>
          <t>Sale Price</t>
        </is>
      </c>
      <c r="N1" s="10" t="inlineStr">
        <is>
          <t>Charges paid</t>
        </is>
      </c>
      <c r="O1" s="10" t="inlineStr">
        <is>
          <t>Total Value of Sale</t>
        </is>
      </c>
      <c r="P1" s="10" t="inlineStr">
        <is>
          <t>Profit/Loss</t>
        </is>
      </c>
    </row>
    <row r="2">
      <c r="A2" s="5" t="n">
        <v>1</v>
      </c>
      <c r="B2" s="6" t="inlineStr">
        <is>
          <t>TATASIL</t>
        </is>
      </c>
      <c r="C2" s="9" t="n"/>
      <c r="D2" s="6" t="n"/>
      <c r="E2" s="7" t="n"/>
      <c r="F2" s="7">
        <f>D2*E2</f>
        <v/>
      </c>
      <c r="G2" s="7" t="n"/>
      <c r="H2" s="7">
        <f>F2+G2</f>
        <v/>
      </c>
      <c r="I2" s="7" t="n">
        <v>18.69</v>
      </c>
      <c r="J2" s="7">
        <f>(D2-L2)*I2</f>
        <v/>
      </c>
      <c r="K2" s="9" t="n"/>
      <c r="L2" s="6" t="n"/>
      <c r="M2" s="6" t="n"/>
      <c r="N2" s="6" t="n"/>
      <c r="O2" s="7">
        <f>(L2*M2)-N2</f>
        <v/>
      </c>
      <c r="P2" s="12">
        <f>O2-(L2*E2)</f>
        <v/>
      </c>
    </row>
    <row r="3">
      <c r="A3" s="5">
        <f>A2+1</f>
        <v/>
      </c>
      <c r="B3" s="6" t="inlineStr">
        <is>
          <t>TATAGOLD</t>
        </is>
      </c>
      <c r="C3" s="9" t="n"/>
      <c r="D3" s="6" t="n"/>
      <c r="E3" s="7" t="n"/>
      <c r="F3" s="7">
        <f>D3*E3</f>
        <v/>
      </c>
      <c r="G3" s="7" t="n"/>
      <c r="H3" s="7">
        <f>F3+G3</f>
        <v/>
      </c>
      <c r="I3" s="7" t="n">
        <v>13.63</v>
      </c>
      <c r="J3" s="7">
        <f>(D3-L3)*I3</f>
        <v/>
      </c>
      <c r="K3" s="9" t="n"/>
      <c r="L3" s="6" t="n"/>
      <c r="M3" s="6" t="n"/>
      <c r="N3" s="6" t="n"/>
      <c r="O3" s="7">
        <f>(L3*M3)-N3</f>
        <v/>
      </c>
      <c r="P3" s="12">
        <f>O3-(L3*E3)</f>
        <v/>
      </c>
    </row>
    <row r="4">
      <c r="A4" s="5">
        <f>A3+1</f>
        <v/>
      </c>
      <c r="B4" s="6" t="inlineStr">
        <is>
          <t>NIFTYBEES</t>
        </is>
      </c>
      <c r="C4" s="9" t="n"/>
      <c r="D4" s="6" t="n"/>
      <c r="E4" s="7" t="n"/>
      <c r="F4" s="7">
        <f>D4*E4</f>
        <v/>
      </c>
      <c r="G4" s="7" t="n"/>
      <c r="H4" s="7">
        <f>F4+G4</f>
        <v/>
      </c>
      <c r="I4" s="7" t="n">
        <v>257.22</v>
      </c>
      <c r="J4" s="7">
        <f>(D4-L4)*I4</f>
        <v/>
      </c>
      <c r="K4" s="9" t="n"/>
      <c r="L4" s="6" t="n"/>
      <c r="M4" s="6" t="n"/>
      <c r="N4" s="6" t="n"/>
      <c r="O4" s="7">
        <f>(L4*M4)-N4</f>
        <v/>
      </c>
      <c r="P4" s="12">
        <f>O4-(L4*E4)</f>
        <v/>
      </c>
    </row>
    <row r="5">
      <c r="A5" s="5">
        <f>A4+1</f>
        <v/>
      </c>
      <c r="B5" s="6" t="n"/>
      <c r="C5" s="9" t="n"/>
      <c r="D5" s="6" t="n"/>
      <c r="E5" s="7" t="n"/>
      <c r="F5" s="7">
        <f>D5*E5</f>
        <v/>
      </c>
      <c r="G5" s="7" t="n"/>
      <c r="H5" s="7">
        <f>F5+G5</f>
        <v/>
      </c>
      <c r="I5" s="7" t="n"/>
      <c r="J5" s="7">
        <f>(D5-L5)*I5</f>
        <v/>
      </c>
      <c r="K5" s="9" t="n"/>
      <c r="L5" s="6" t="n"/>
      <c r="M5" s="6" t="n"/>
      <c r="N5" s="6" t="n"/>
      <c r="O5" s="7">
        <f>(L5*M5)-N5</f>
        <v/>
      </c>
      <c r="P5" s="12">
        <f>O5-(L5*E5)</f>
        <v/>
      </c>
    </row>
    <row r="6">
      <c r="A6" s="2" t="n"/>
      <c r="E6" s="4" t="n"/>
      <c r="F6" s="4" t="n"/>
      <c r="G6" s="4" t="n"/>
      <c r="H6" s="4" t="n"/>
      <c r="I6" s="4" t="n"/>
      <c r="J6" s="4" t="n"/>
    </row>
    <row r="7">
      <c r="A7" s="2" t="n"/>
      <c r="B7" s="21" t="inlineStr">
        <is>
          <t>Total</t>
        </is>
      </c>
      <c r="F7" s="4">
        <f>SUM(F2:F6)</f>
        <v/>
      </c>
      <c r="G7" s="4" t="n"/>
      <c r="H7" s="4">
        <f>SUM(H2:H6)</f>
        <v/>
      </c>
      <c r="I7" s="4" t="n"/>
      <c r="J7" s="4">
        <f>SUM(J2:J6)</f>
        <v/>
      </c>
      <c r="P7" s="4">
        <f>SUM(P2:P6)</f>
        <v/>
      </c>
    </row>
    <row r="8">
      <c r="A8" s="2" t="n"/>
      <c r="B8" s="21" t="inlineStr">
        <is>
          <t>% upside/downside</t>
        </is>
      </c>
      <c r="F8" s="16">
        <f>(J7-F7)/F7</f>
        <v/>
      </c>
    </row>
  </sheetData>
  <mergeCells count="2">
    <mergeCell ref="B7:E7"/>
    <mergeCell ref="B8:E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2" sqref="F2"/>
    </sheetView>
  </sheetViews>
  <sheetFormatPr baseColWidth="8" defaultColWidth="13.21875" defaultRowHeight="13.8"/>
  <cols>
    <col width="13.21875" customWidth="1" style="1" min="1" max="1"/>
    <col width="24.44140625" bestFit="1" customWidth="1" style="1" min="2" max="2"/>
    <col width="13.21875" customWidth="1" style="1" min="3" max="16384"/>
  </cols>
  <sheetData>
    <row r="1" ht="41.4" customHeight="1">
      <c r="A1" s="10" t="inlineStr">
        <is>
          <t>Sr No.</t>
        </is>
      </c>
      <c r="B1" s="10" t="inlineStr">
        <is>
          <t>Name of Stock</t>
        </is>
      </c>
      <c r="C1" s="10" t="inlineStr">
        <is>
          <t>Total Units</t>
        </is>
      </c>
      <c r="D1" s="10" t="inlineStr">
        <is>
          <t>Average Price</t>
        </is>
      </c>
      <c r="E1" s="10" t="inlineStr">
        <is>
          <t>Total Cost</t>
        </is>
      </c>
      <c r="F1" s="10" t="inlineStr">
        <is>
          <t>NAV</t>
        </is>
      </c>
      <c r="G1" s="10" t="inlineStr">
        <is>
          <t>Current Value of Investment</t>
        </is>
      </c>
      <c r="H1" s="10" t="inlineStr">
        <is>
          <t>Profit/Loss</t>
        </is>
      </c>
      <c r="I1" s="10" t="inlineStr">
        <is>
          <t>Profit/Loss</t>
        </is>
      </c>
    </row>
    <row r="2">
      <c r="A2" s="5" t="n">
        <v>1</v>
      </c>
      <c r="B2" s="6" t="inlineStr">
        <is>
          <t>Axis Small Cap Fund</t>
        </is>
      </c>
      <c r="C2" s="6" t="n">
        <v>801.022</v>
      </c>
      <c r="D2" s="18" t="n">
        <v>103.61</v>
      </c>
      <c r="E2" s="7">
        <f>C2*D2</f>
        <v/>
      </c>
      <c r="F2" s="18" t="n">
        <v>124.67</v>
      </c>
      <c r="G2" s="7">
        <f>C2*F2</f>
        <v/>
      </c>
      <c r="H2" s="12">
        <f>G2-E2</f>
        <v/>
      </c>
      <c r="I2" s="19">
        <f>H2/E2</f>
        <v/>
      </c>
    </row>
    <row r="3">
      <c r="A3" s="5">
        <f>A2+1</f>
        <v/>
      </c>
      <c r="B3" s="6" t="inlineStr">
        <is>
          <t>Parag Parikh Flexi Cap Fund</t>
        </is>
      </c>
      <c r="C3" s="6" t="n">
        <v>1048.87</v>
      </c>
      <c r="D3" s="18" t="n">
        <v>76.75</v>
      </c>
      <c r="E3" s="7">
        <f>C3*D3</f>
        <v/>
      </c>
      <c r="F3" s="18" t="n">
        <v>88.9695</v>
      </c>
      <c r="G3" s="7">
        <f>C3*F3</f>
        <v/>
      </c>
      <c r="H3" s="12">
        <f>G3-E3</f>
        <v/>
      </c>
      <c r="I3" s="19">
        <f>H3/E3</f>
        <v/>
      </c>
    </row>
    <row r="4">
      <c r="A4" s="5">
        <f>A3+1</f>
        <v/>
      </c>
      <c r="B4" s="6" t="inlineStr">
        <is>
          <t>JioBlackRock Flexi Cap</t>
        </is>
      </c>
      <c r="C4" s="6" t="n">
        <v>8231.880999999999</v>
      </c>
      <c r="D4" s="18" t="n">
        <v>10.08</v>
      </c>
      <c r="E4" s="7">
        <f>C4*D4</f>
        <v/>
      </c>
      <c r="F4" s="18" t="n">
        <v>9.2342</v>
      </c>
      <c r="G4" s="7">
        <f>C4*F4</f>
        <v/>
      </c>
      <c r="H4" s="12">
        <f>G4-E4</f>
        <v/>
      </c>
      <c r="I4" s="19">
        <f>H4/E4</f>
        <v/>
      </c>
    </row>
    <row r="5">
      <c r="A5" s="5">
        <f>A4+1</f>
        <v/>
      </c>
      <c r="B5" s="6" t="inlineStr">
        <is>
          <t>HDFC Mid Cap</t>
        </is>
      </c>
      <c r="C5" s="6" t="n"/>
      <c r="D5" s="18" t="n"/>
      <c r="E5" s="7">
        <f>C5*D5</f>
        <v/>
      </c>
      <c r="F5" s="18" t="n">
        <v>213.423</v>
      </c>
      <c r="G5" s="7">
        <f>C5*F5</f>
        <v/>
      </c>
      <c r="H5" s="12">
        <f>G5-E5</f>
        <v/>
      </c>
      <c r="I5" s="19">
        <f>H5/E5</f>
        <v/>
      </c>
    </row>
    <row r="6">
      <c r="A6" s="5">
        <f>A5+1</f>
        <v/>
      </c>
      <c r="B6" s="6" t="inlineStr">
        <is>
          <t>SBI Contra</t>
        </is>
      </c>
      <c r="C6" s="6" t="n"/>
      <c r="D6" s="18" t="n"/>
      <c r="E6" s="7">
        <f>C6*D6</f>
        <v/>
      </c>
      <c r="F6" s="18" t="n">
        <v>387.1125</v>
      </c>
      <c r="G6" s="7">
        <f>C6*F6</f>
        <v/>
      </c>
      <c r="H6" s="12">
        <f>G6-E6</f>
        <v/>
      </c>
      <c r="I6" s="19">
        <f>H6/E6</f>
        <v/>
      </c>
    </row>
    <row r="7">
      <c r="A7" s="2" t="n"/>
      <c r="D7" s="4" t="n"/>
      <c r="E7" s="4" t="n"/>
      <c r="F7" s="4" t="n"/>
      <c r="G7" s="4" t="n"/>
    </row>
    <row r="8">
      <c r="A8" s="2" t="n"/>
      <c r="B8" s="21" t="inlineStr">
        <is>
          <t>Total</t>
        </is>
      </c>
      <c r="E8" s="4">
        <f>SUM(E2:E7)</f>
        <v/>
      </c>
      <c r="F8" s="4" t="n"/>
      <c r="G8" s="4">
        <f>SUM(G2:G7)</f>
        <v/>
      </c>
      <c r="H8" s="4">
        <f>SUM(H2:H7)</f>
        <v/>
      </c>
    </row>
    <row r="9">
      <c r="A9" s="2" t="n"/>
      <c r="B9" s="21" t="inlineStr">
        <is>
          <t>% upside/downside</t>
        </is>
      </c>
      <c r="E9" s="17">
        <f>H8/E8</f>
        <v/>
      </c>
    </row>
  </sheetData>
  <mergeCells count="2">
    <mergeCell ref="B9:D9"/>
    <mergeCell ref="B8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KARTIK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2026-10-25T03:44:42Z</dcterms:modified>
  <cp:lastModifiedBy>KARTIK</cp:lastModifiedBy>
</cp:coreProperties>
</file>